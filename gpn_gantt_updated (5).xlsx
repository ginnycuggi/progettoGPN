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task_end" vbProcedure="false">Sheet1!$G1</definedName>
    <definedName function="false" hidden="false" localSheetId="0" name="task_progress" vbProcedure="false">Sheet1!$E1</definedName>
    <definedName function="false" hidden="false" localSheetId="0" name="task_start" vbProcedure="false">Sheet1!$F1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<sst xmlns="http://schemas.openxmlformats.org/spreadsheetml/2006/main" count="39" uniqueCount="36">
  <si>
    <t xml:space="preserve">Scambio Schemi Progetto GPN</t>
  </si>
  <si>
    <t xml:space="preserve">Project Start: 6 October 2025</t>
  </si>
  <si>
    <t xml:space="preserve">Month</t>
  </si>
  <si>
    <t xml:space="preserve">Week</t>
  </si>
  <si>
    <t xml:space="preserve">Days</t>
  </si>
  <si>
    <t xml:space="preserve">Weeks #</t>
  </si>
  <si>
    <t xml:space="preserve">Hours #</t>
  </si>
  <si>
    <t xml:space="preserve">Cost €</t>
  </si>
  <si>
    <t xml:space="preserve">TASK</t>
  </si>
  <si>
    <t xml:space="preserve">ASSIGNED</t>
  </si>
  <si>
    <t xml:space="preserve">%</t>
  </si>
  <si>
    <t xml:space="preserve">START </t>
  </si>
  <si>
    <t xml:space="preserve">END</t>
  </si>
  <si>
    <t xml:space="preserve">fattibilita</t>
  </si>
  <si>
    <t xml:space="preserve">studio di fattibilità</t>
  </si>
  <si>
    <t xml:space="preserve">N</t>
  </si>
  <si>
    <t xml:space="preserve">excel</t>
  </si>
  <si>
    <t xml:space="preserve">GN</t>
  </si>
  <si>
    <t xml:space="preserve">requirement</t>
  </si>
  <si>
    <t xml:space="preserve">readme</t>
  </si>
  <si>
    <t xml:space="preserve">GP</t>
  </si>
  <si>
    <t xml:space="preserve">Front-end</t>
  </si>
  <si>
    <t xml:space="preserve"> .html</t>
  </si>
  <si>
    <t xml:space="preserve">G</t>
  </si>
  <si>
    <t xml:space="preserve">form</t>
  </si>
  <si>
    <t xml:space="preserve">P</t>
  </si>
  <si>
    <t xml:space="preserve">.css</t>
  </si>
  <si>
    <t xml:space="preserve">Back-end</t>
  </si>
  <si>
    <t xml:space="preserve">data base</t>
  </si>
  <si>
    <t xml:space="preserve">Selling</t>
  </si>
  <si>
    <t xml:space="preserve">Componenti:</t>
  </si>
  <si>
    <t xml:space="preserve">N= Brusa Noemi</t>
  </si>
  <si>
    <t xml:space="preserve">P= Calegari Paola</t>
  </si>
  <si>
    <t xml:space="preserve">G= Guidi Ginevra</t>
  </si>
  <si>
    <t xml:space="preserve">Ore/sett per persona:</t>
  </si>
  <si>
    <t xml:space="preserve">Tariffa oraria (€/h):</t>
  </si>
</sst>
</file>

<file path=xl/styles.xml><?xml version="1.0" encoding="utf-8"?>
<styleSheet xmlns="http://schemas.openxmlformats.org/spreadsheetml/2006/main">
  <numFmts count="8">
    <numFmt numFmtId="164" formatCode="[$-409]d\-mmm;@"/>
    <numFmt numFmtId="165" formatCode="General"/>
    <numFmt numFmtId="166" formatCode="[$-409]mmmmm;@"/>
    <numFmt numFmtId="167" formatCode="d\-mmm"/>
    <numFmt numFmtId="168" formatCode="0%"/>
    <numFmt numFmtId="169" formatCode="m/d/yyyy"/>
    <numFmt numFmtId="170" formatCode="General"/>
    <numFmt numFmtId="171" formatCode="#,##0.00\ [$€-410]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5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sz val="13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 val="true"/>
      <sz val="15"/>
      <color theme="1"/>
      <name val="Aptos Narrow"/>
      <family val="2"/>
      <charset val="1"/>
    </font>
    <font>
      <sz val="13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sz val="15"/>
      <color theme="1"/>
      <name val="Aptos Narrow"/>
      <family val="2"/>
      <charset val="1"/>
    </font>
    <font>
      <b val="true"/>
      <sz val="10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theme="6" tint="0.7998"/>
        <bgColor rgb="FFD9F2D0"/>
      </patternFill>
    </fill>
    <fill>
      <patternFill patternType="solid">
        <fgColor theme="0" tint="-0.05"/>
        <bgColor rgb="FFEFF9EB"/>
      </patternFill>
    </fill>
    <fill>
      <patternFill patternType="solid">
        <fgColor theme="9" tint="0.7998"/>
        <bgColor rgb="FFC2F1C8"/>
      </patternFill>
    </fill>
    <fill>
      <patternFill patternType="solid">
        <fgColor rgb="FFEFF9EB"/>
        <bgColor rgb="FFF2F2F2"/>
      </patternFill>
    </fill>
    <fill>
      <patternFill patternType="solid">
        <fgColor theme="0" tint="-0.15"/>
        <bgColor rgb="FFD9F2D0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35"/>
        <bgColor rgb="FFBFBFBF"/>
      </patternFill>
    </fill>
    <fill>
      <patternFill patternType="solid">
        <fgColor theme="1" tint="0.4997"/>
        <bgColor rgb="FF666699"/>
      </patternFill>
    </fill>
    <fill>
      <patternFill patternType="solid">
        <fgColor rgb="FFE89078"/>
        <bgColor rgb="FFE59EDD"/>
      </patternFill>
    </fill>
    <fill>
      <patternFill patternType="solid">
        <fgColor theme="2" tint="-0.75"/>
        <bgColor rgb="FF333300"/>
      </patternFill>
    </fill>
    <fill>
      <patternFill patternType="solid">
        <fgColor theme="8" tint="0.5997"/>
        <bgColor rgb="FFBFBFB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6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2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6666FF"/>
        </patternFill>
      </fill>
    </dxf>
    <dxf>
      <numFmt numFmtId="164" formatCode="[$-409]d\-mmm;@"/>
      <fill>
        <patternFill>
          <bgColor rgb="FF000000"/>
        </patternFill>
      </fill>
      <border diagonalUp="false" diagonalDown="false">
        <left style="thin">
          <color theme="8" tint="0.3997"/>
        </left>
        <right style="thin">
          <color theme="8" tint="0.3997"/>
        </right>
        <top/>
        <bottom/>
        <diagonal/>
      </border>
    </dxf>
    <dxf>
      <fill>
        <patternFill>
          <bgColor rgb="FFADD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FF9EB"/>
      <rgbColor rgb="FFD9F2D0"/>
      <rgbColor rgb="FF660066"/>
      <rgbColor rgb="FFE8907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2F1C8"/>
      <rgbColor rgb="FFFFFF99"/>
      <rgbColor rgb="FFADD8E6"/>
      <rgbColor rgb="FFE59EDD"/>
      <rgbColor rgb="FFD86ECC"/>
      <rgbColor rgb="FFFFCC99"/>
      <rgbColor rgb="FF66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AU39"/>
  <sheetViews>
    <sheetView showFormulas="false" showGridLines="false" showRowColHeaders="true" showZeros="true" rightToLeft="false" tabSelected="true" showOutlineSymbols="true" defaultGridColor="true" view="normal" topLeftCell="V3" colorId="64" zoomScale="91" zoomScaleNormal="91" zoomScalePageLayoutView="100" workbookViewId="0">
      <selection pane="topLeft" activeCell="AL5" activeCellId="0" sqref="AL5"/>
    </sheetView>
  </sheetViews>
  <sheetFormatPr defaultColWidth="8.5" defaultRowHeight="13.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6.1"/>
    <col collapsed="false" customWidth="true" hidden="false" outlineLevel="0" max="3" min="3" style="0" width="23"/>
    <col collapsed="false" customWidth="true" hidden="false" outlineLevel="0" max="4" min="4" style="0" width="13.2"/>
    <col collapsed="false" customWidth="true" hidden="false" outlineLevel="0" max="5" min="5" style="0" width="9.4"/>
    <col collapsed="false" customWidth="true" hidden="false" outlineLevel="0" max="6" min="6" style="0" width="10.4"/>
    <col collapsed="false" customWidth="true" hidden="false" outlineLevel="0" max="7" min="7" style="0" width="10.7"/>
    <col collapsed="false" customWidth="true" hidden="false" outlineLevel="0" max="8" min="8" style="0" width="10.4"/>
    <col collapsed="false" customWidth="true" hidden="false" outlineLevel="0" max="9" min="9" style="1" width="5.6"/>
    <col collapsed="false" customWidth="true" hidden="false" outlineLevel="0" max="43" min="10" style="1" width="6.7"/>
    <col collapsed="false" customWidth="true" hidden="false" outlineLevel="0" max="49" min="45" style="0" width="13.7"/>
  </cols>
  <sheetData>
    <row r="1" customFormat="false" ht="13.5" hidden="false" customHeight="false" outlineLevel="0" collapsed="false">
      <c r="AL1" s="2"/>
    </row>
    <row r="2" customFormat="false" ht="27" hidden="false" customHeight="true" outlineLevel="0" collapsed="false">
      <c r="C2" s="3" t="s">
        <v>0</v>
      </c>
      <c r="D2" s="3"/>
      <c r="E2" s="3"/>
      <c r="F2" s="3"/>
      <c r="G2" s="3"/>
      <c r="AL2" s="2"/>
    </row>
    <row r="3" customFormat="false" ht="14.25" hidden="false" customHeight="true" outlineLevel="0" collapsed="false">
      <c r="C3" s="4" t="s">
        <v>1</v>
      </c>
      <c r="D3" s="4"/>
      <c r="H3" s="5" t="s">
        <v>2</v>
      </c>
      <c r="I3" s="6" t="str">
        <f aca="false">TEXT(I5,"MMM")</f>
        <v>Oct</v>
      </c>
      <c r="J3" s="6"/>
      <c r="K3" s="6"/>
      <c r="L3" s="6"/>
      <c r="M3" s="6" t="str">
        <f aca="false">TEXT(M5,"MMM")</f>
        <v>Nov</v>
      </c>
      <c r="N3" s="6"/>
      <c r="O3" s="6"/>
      <c r="P3" s="6"/>
      <c r="Q3" s="7" t="str">
        <f aca="false">TEXT(Q5,"MMM")</f>
        <v>Dec</v>
      </c>
      <c r="R3" s="7"/>
      <c r="S3" s="7"/>
      <c r="T3" s="7"/>
      <c r="U3" s="8"/>
      <c r="V3" s="6" t="str">
        <f aca="false">TEXT(V5,"MMM")</f>
        <v>Jan</v>
      </c>
      <c r="W3" s="6"/>
      <c r="X3" s="6"/>
      <c r="Y3" s="6"/>
      <c r="Z3" s="6" t="str">
        <f aca="false">TEXT(Z5,"MMM")</f>
        <v>Feb</v>
      </c>
      <c r="AA3" s="6"/>
      <c r="AB3" s="6"/>
      <c r="AC3" s="6"/>
      <c r="AD3" s="7" t="str">
        <f aca="false">TEXT(AD5,"MMM")</f>
        <v>Mar</v>
      </c>
      <c r="AE3" s="7"/>
      <c r="AF3" s="7"/>
      <c r="AG3" s="7"/>
      <c r="AH3" s="8"/>
      <c r="AI3" s="7" t="str">
        <f aca="false">TEXT(AI5,"MMM")</f>
        <v>Apr</v>
      </c>
      <c r="AJ3" s="7"/>
      <c r="AK3" s="7"/>
      <c r="AL3" s="7"/>
      <c r="AM3" s="6" t="str">
        <f aca="false">TEXT(AM5,"MMM")</f>
        <v>May</v>
      </c>
      <c r="AN3" s="6"/>
      <c r="AO3" s="6"/>
      <c r="AP3" s="6"/>
      <c r="AQ3" s="7" t="str">
        <f aca="false">TEXT(AQ5,"MMM")</f>
        <v>Jun</v>
      </c>
    </row>
    <row r="4" customFormat="false" ht="14.25" hidden="false" customHeight="true" outlineLevel="0" collapsed="false">
      <c r="H4" s="9" t="s">
        <v>3</v>
      </c>
      <c r="I4" s="10" t="n">
        <v>1</v>
      </c>
      <c r="J4" s="11" t="n">
        <v>2</v>
      </c>
      <c r="K4" s="11" t="n">
        <v>3</v>
      </c>
      <c r="L4" s="12" t="n">
        <v>4</v>
      </c>
      <c r="M4" s="10" t="n">
        <v>5</v>
      </c>
      <c r="N4" s="11" t="n">
        <v>6</v>
      </c>
      <c r="O4" s="11" t="n">
        <v>7</v>
      </c>
      <c r="P4" s="12" t="n">
        <v>8</v>
      </c>
      <c r="Q4" s="10" t="n">
        <v>9</v>
      </c>
      <c r="R4" s="11" t="n">
        <v>10</v>
      </c>
      <c r="S4" s="11" t="n">
        <v>11</v>
      </c>
      <c r="T4" s="11" t="n">
        <v>12</v>
      </c>
      <c r="U4" s="12" t="n">
        <v>13</v>
      </c>
      <c r="V4" s="10" t="n">
        <v>14</v>
      </c>
      <c r="W4" s="11" t="n">
        <v>15</v>
      </c>
      <c r="X4" s="11" t="n">
        <v>16</v>
      </c>
      <c r="Y4" s="12" t="n">
        <v>17</v>
      </c>
      <c r="Z4" s="10" t="n">
        <v>18</v>
      </c>
      <c r="AA4" s="11" t="n">
        <v>19</v>
      </c>
      <c r="AB4" s="11" t="n">
        <v>20</v>
      </c>
      <c r="AC4" s="12" t="n">
        <v>21</v>
      </c>
      <c r="AD4" s="10" t="n">
        <v>22</v>
      </c>
      <c r="AE4" s="11" t="n">
        <v>23</v>
      </c>
      <c r="AF4" s="11" t="n">
        <v>24</v>
      </c>
      <c r="AG4" s="11" t="n">
        <v>25</v>
      </c>
      <c r="AH4" s="12" t="n">
        <v>26</v>
      </c>
      <c r="AI4" s="10" t="n">
        <v>27</v>
      </c>
      <c r="AJ4" s="11" t="n">
        <v>28</v>
      </c>
      <c r="AK4" s="11" t="n">
        <v>29</v>
      </c>
      <c r="AL4" s="13" t="n">
        <v>30</v>
      </c>
      <c r="AM4" s="10" t="n">
        <v>31</v>
      </c>
      <c r="AN4" s="11" t="n">
        <v>32</v>
      </c>
      <c r="AO4" s="11" t="n">
        <v>33</v>
      </c>
      <c r="AP4" s="12" t="n">
        <v>34</v>
      </c>
      <c r="AQ4" s="10" t="n">
        <v>35</v>
      </c>
    </row>
    <row r="5" customFormat="false" ht="14.25" hidden="false" customHeight="true" outlineLevel="0" collapsed="false">
      <c r="H5" s="14" t="s">
        <v>4</v>
      </c>
      <c r="I5" s="15" t="n">
        <v>45936</v>
      </c>
      <c r="J5" s="16" t="n">
        <v>45943</v>
      </c>
      <c r="K5" s="17" t="n">
        <v>45950</v>
      </c>
      <c r="L5" s="18" t="n">
        <v>45957</v>
      </c>
      <c r="M5" s="15" t="n">
        <v>45964</v>
      </c>
      <c r="N5" s="16" t="n">
        <v>45971</v>
      </c>
      <c r="O5" s="17" t="n">
        <v>45978</v>
      </c>
      <c r="P5" s="18" t="n">
        <v>45985</v>
      </c>
      <c r="Q5" s="15" t="n">
        <v>45992</v>
      </c>
      <c r="R5" s="16" t="n">
        <v>45999</v>
      </c>
      <c r="S5" s="17" t="n">
        <v>46006</v>
      </c>
      <c r="T5" s="19" t="n">
        <v>46013</v>
      </c>
      <c r="U5" s="20" t="n">
        <v>46020</v>
      </c>
      <c r="V5" s="15" t="n">
        <v>46027</v>
      </c>
      <c r="W5" s="16" t="n">
        <v>46034</v>
      </c>
      <c r="X5" s="17" t="n">
        <v>46041</v>
      </c>
      <c r="Y5" s="18" t="n">
        <v>46048</v>
      </c>
      <c r="Z5" s="15" t="n">
        <v>46055</v>
      </c>
      <c r="AA5" s="16" t="n">
        <v>46062</v>
      </c>
      <c r="AB5" s="17" t="n">
        <v>46069</v>
      </c>
      <c r="AC5" s="18" t="n">
        <v>46076</v>
      </c>
      <c r="AD5" s="15" t="n">
        <v>46083</v>
      </c>
      <c r="AE5" s="16" t="n">
        <v>46090</v>
      </c>
      <c r="AF5" s="17" t="n">
        <v>46097</v>
      </c>
      <c r="AG5" s="19" t="n">
        <v>46104</v>
      </c>
      <c r="AH5" s="20" t="n">
        <v>46111</v>
      </c>
      <c r="AI5" s="15" t="n">
        <v>46118</v>
      </c>
      <c r="AJ5" s="16" t="n">
        <v>46125</v>
      </c>
      <c r="AK5" s="17" t="n">
        <v>46132</v>
      </c>
      <c r="AL5" s="21" t="n">
        <v>46139</v>
      </c>
      <c r="AM5" s="15" t="n">
        <v>46146</v>
      </c>
      <c r="AN5" s="16" t="n">
        <v>46153</v>
      </c>
      <c r="AO5" s="17" t="n">
        <v>46160</v>
      </c>
      <c r="AP5" s="18" t="n">
        <v>46167</v>
      </c>
      <c r="AQ5" s="22" t="n">
        <v>46174</v>
      </c>
      <c r="AS5" s="23" t="s">
        <v>5</v>
      </c>
      <c r="AT5" s="24" t="s">
        <v>6</v>
      </c>
      <c r="AU5" s="25" t="s">
        <v>7</v>
      </c>
    </row>
    <row r="6" customFormat="false" ht="21" hidden="false" customHeight="true" outlineLevel="0" collapsed="false">
      <c r="C6" s="26" t="s">
        <v>8</v>
      </c>
      <c r="D6" s="26" t="s">
        <v>9</v>
      </c>
      <c r="E6" s="26" t="s">
        <v>10</v>
      </c>
      <c r="F6" s="27" t="s">
        <v>11</v>
      </c>
      <c r="G6" s="27" t="s">
        <v>12</v>
      </c>
      <c r="H6" s="28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30"/>
      <c r="AM6" s="29"/>
      <c r="AN6" s="29"/>
      <c r="AO6" s="29"/>
      <c r="AP6" s="29"/>
      <c r="AQ6" s="29"/>
      <c r="AS6" s="10"/>
      <c r="AT6" s="31"/>
      <c r="AU6" s="32"/>
    </row>
    <row r="7" customFormat="false" ht="24.75" hidden="false" customHeight="true" outlineLevel="0" collapsed="false">
      <c r="C7" s="33" t="s">
        <v>13</v>
      </c>
      <c r="D7" s="33"/>
      <c r="E7" s="34"/>
      <c r="F7" s="35"/>
      <c r="G7" s="35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13"/>
      <c r="AM7" s="37"/>
      <c r="AN7" s="37"/>
      <c r="AO7" s="37"/>
      <c r="AP7" s="37"/>
      <c r="AQ7" s="37"/>
      <c r="AS7" s="10"/>
      <c r="AT7" s="31"/>
      <c r="AU7" s="32"/>
    </row>
    <row r="8" customFormat="false" ht="21" hidden="false" customHeight="true" outlineLevel="0" collapsed="false">
      <c r="C8" s="38" t="s">
        <v>14</v>
      </c>
      <c r="D8" s="38" t="s">
        <v>15</v>
      </c>
      <c r="E8" s="39" t="n">
        <v>0.6</v>
      </c>
      <c r="F8" s="40" t="n">
        <v>45936</v>
      </c>
      <c r="G8" s="40" t="n">
        <v>45943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13"/>
      <c r="AM8" s="41"/>
      <c r="AN8" s="41"/>
      <c r="AO8" s="41"/>
      <c r="AP8" s="41"/>
      <c r="AQ8" s="37"/>
      <c r="AS8" s="10" t="n">
        <f aca="false">MAX(0,INT((G8-F8)/7))</f>
        <v>1</v>
      </c>
      <c r="AT8" s="31" t="n">
        <f aca="false">AS8*$D$36*E8</f>
        <v>1.8</v>
      </c>
      <c r="AU8" s="32" t="n">
        <f aca="false">AT8*$D$37</f>
        <v>27</v>
      </c>
    </row>
    <row r="9" customFormat="false" ht="21" hidden="false" customHeight="true" outlineLevel="0" collapsed="false">
      <c r="C9" s="38" t="s">
        <v>16</v>
      </c>
      <c r="D9" s="38" t="s">
        <v>17</v>
      </c>
      <c r="E9" s="39" t="n">
        <v>0.7</v>
      </c>
      <c r="F9" s="40" t="n">
        <v>45955</v>
      </c>
      <c r="G9" s="40" t="n">
        <v>46141</v>
      </c>
      <c r="H9" s="42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13"/>
      <c r="AM9" s="41"/>
      <c r="AN9" s="41"/>
      <c r="AO9" s="41"/>
      <c r="AP9" s="41"/>
      <c r="AQ9" s="37"/>
      <c r="AS9" s="10" t="n">
        <f aca="false">MAX(0,INT((G9-F9)/7))</f>
        <v>26</v>
      </c>
      <c r="AT9" s="31" t="n">
        <f aca="false">AS9*$D$36*E9</f>
        <v>54.6</v>
      </c>
      <c r="AU9" s="32" t="n">
        <f aca="false">AT9*$D$37</f>
        <v>819</v>
      </c>
    </row>
    <row r="10" customFormat="false" ht="21" hidden="false" customHeight="true" outlineLevel="0" collapsed="false">
      <c r="C10" s="38" t="s">
        <v>18</v>
      </c>
      <c r="D10" s="38" t="s">
        <v>15</v>
      </c>
      <c r="E10" s="39" t="n">
        <v>0.4</v>
      </c>
      <c r="F10" s="40" t="n">
        <v>45971</v>
      </c>
      <c r="G10" s="40" t="n">
        <v>45972</v>
      </c>
      <c r="H10" s="42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13"/>
      <c r="AM10" s="41"/>
      <c r="AN10" s="41"/>
      <c r="AO10" s="41"/>
      <c r="AP10" s="41"/>
      <c r="AQ10" s="37"/>
      <c r="AS10" s="10" t="n">
        <f aca="false">MAX(0,INT((G10-F10)/7))</f>
        <v>0</v>
      </c>
      <c r="AT10" s="31" t="n">
        <f aca="false">AS10*$D$36*E10</f>
        <v>0</v>
      </c>
      <c r="AU10" s="32" t="n">
        <f aca="false">AT10*$D$37</f>
        <v>0</v>
      </c>
    </row>
    <row r="11" customFormat="false" ht="21" hidden="false" customHeight="true" outlineLevel="0" collapsed="false">
      <c r="C11" s="38" t="s">
        <v>19</v>
      </c>
      <c r="D11" s="38" t="s">
        <v>20</v>
      </c>
      <c r="E11" s="39" t="n">
        <v>1</v>
      </c>
      <c r="F11" s="40" t="n">
        <v>45936</v>
      </c>
      <c r="G11" s="40" t="n">
        <v>45950</v>
      </c>
      <c r="H11" s="42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13"/>
      <c r="AM11" s="41"/>
      <c r="AN11" s="41"/>
      <c r="AO11" s="41"/>
      <c r="AP11" s="41"/>
      <c r="AQ11" s="37"/>
      <c r="AS11" s="10" t="n">
        <f aca="false">MAX(0,INT((G11-F11)/7))</f>
        <v>2</v>
      </c>
      <c r="AT11" s="31" t="n">
        <f aca="false">AS11*$D$36*E11</f>
        <v>6</v>
      </c>
      <c r="AU11" s="32" t="n">
        <f aca="false">AT11*$D$37</f>
        <v>90</v>
      </c>
    </row>
    <row r="12" customFormat="false" ht="24.75" hidden="false" customHeight="true" outlineLevel="0" collapsed="false">
      <c r="C12" s="43" t="s">
        <v>21</v>
      </c>
      <c r="D12" s="43"/>
      <c r="E12" s="44"/>
      <c r="F12" s="45"/>
      <c r="G12" s="45"/>
      <c r="H12" s="42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13"/>
      <c r="AM12" s="41"/>
      <c r="AN12" s="41"/>
      <c r="AO12" s="41"/>
      <c r="AP12" s="41"/>
      <c r="AQ12" s="37"/>
      <c r="AS12" s="10" t="n">
        <f aca="false">MAX(0,INT((G12-F12)/7))</f>
        <v>0</v>
      </c>
      <c r="AT12" s="31" t="n">
        <f aca="false">AS12*$D$36*E12</f>
        <v>0</v>
      </c>
      <c r="AU12" s="32" t="n">
        <f aca="false">AT12*$D$37</f>
        <v>0</v>
      </c>
    </row>
    <row r="13" customFormat="false" ht="21" hidden="false" customHeight="true" outlineLevel="0" collapsed="false">
      <c r="C13" s="38" t="s">
        <v>22</v>
      </c>
      <c r="D13" s="38" t="s">
        <v>23</v>
      </c>
      <c r="E13" s="46" t="n">
        <v>0.75</v>
      </c>
      <c r="F13" s="40" t="n">
        <v>45945</v>
      </c>
      <c r="G13" s="40" t="n">
        <v>46111</v>
      </c>
      <c r="H13" s="42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13"/>
      <c r="AM13" s="41"/>
      <c r="AN13" s="41"/>
      <c r="AO13" s="41"/>
      <c r="AP13" s="41"/>
      <c r="AQ13" s="37"/>
      <c r="AS13" s="10" t="n">
        <f aca="false">MAX(0,INT((G13-F13)/7))</f>
        <v>23</v>
      </c>
      <c r="AT13" s="31" t="n">
        <f aca="false">AS13*$D$36*E13</f>
        <v>51.75</v>
      </c>
      <c r="AU13" s="32" t="n">
        <f aca="false">AT13*$D$37</f>
        <v>776.25</v>
      </c>
    </row>
    <row r="14" customFormat="false" ht="21" hidden="false" customHeight="true" outlineLevel="0" collapsed="false">
      <c r="C14" s="38" t="s">
        <v>24</v>
      </c>
      <c r="D14" s="38" t="s">
        <v>25</v>
      </c>
      <c r="E14" s="47" t="n">
        <v>0.7</v>
      </c>
      <c r="F14" s="40" t="n">
        <v>45948</v>
      </c>
      <c r="G14" s="40" t="n">
        <v>45953</v>
      </c>
      <c r="H14" s="42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13"/>
      <c r="AM14" s="41"/>
      <c r="AN14" s="41"/>
      <c r="AO14" s="41"/>
      <c r="AP14" s="41"/>
      <c r="AQ14" s="37"/>
      <c r="AS14" s="10" t="n">
        <f aca="false">MAX(0,INT((G14-F14)/7))</f>
        <v>0</v>
      </c>
      <c r="AT14" s="31" t="n">
        <f aca="false">AS14*$D$36*E14</f>
        <v>0</v>
      </c>
      <c r="AU14" s="32" t="n">
        <f aca="false">AT14*$D$37</f>
        <v>0</v>
      </c>
    </row>
    <row r="15" customFormat="false" ht="21" hidden="false" customHeight="true" outlineLevel="0" collapsed="false">
      <c r="C15" s="38" t="s">
        <v>26</v>
      </c>
      <c r="D15" s="38" t="s">
        <v>20</v>
      </c>
      <c r="E15" s="46" t="n">
        <v>0.75</v>
      </c>
      <c r="F15" s="40" t="n">
        <v>45978</v>
      </c>
      <c r="G15" s="40" t="n">
        <v>46111</v>
      </c>
      <c r="H15" s="42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13"/>
      <c r="AM15" s="41"/>
      <c r="AN15" s="41"/>
      <c r="AO15" s="41"/>
      <c r="AP15" s="41"/>
      <c r="AQ15" s="37"/>
      <c r="AS15" s="10" t="n">
        <f aca="false">MAX(0,INT((G15-F15)/7))</f>
        <v>19</v>
      </c>
      <c r="AT15" s="31" t="n">
        <f aca="false">AS15*$D$36*E15</f>
        <v>42.75</v>
      </c>
      <c r="AU15" s="32" t="n">
        <f aca="false">AT15*$D$37</f>
        <v>641.25</v>
      </c>
    </row>
    <row r="16" customFormat="false" ht="21" hidden="false" customHeight="true" outlineLevel="0" collapsed="false">
      <c r="C16" s="38"/>
      <c r="D16" s="48"/>
      <c r="E16" s="49"/>
      <c r="F16" s="40"/>
      <c r="G16" s="40"/>
      <c r="H16" s="42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13"/>
      <c r="AM16" s="41"/>
      <c r="AN16" s="41"/>
      <c r="AO16" s="41"/>
      <c r="AP16" s="41"/>
      <c r="AQ16" s="37"/>
      <c r="AS16" s="10" t="n">
        <f aca="false">MAX(0,INT((G16-F16)/7))</f>
        <v>0</v>
      </c>
      <c r="AT16" s="31" t="n">
        <f aca="false">AS16*$D$36*E16</f>
        <v>0</v>
      </c>
      <c r="AU16" s="32" t="n">
        <f aca="false">AT16*$D$37</f>
        <v>0</v>
      </c>
    </row>
    <row r="17" customFormat="false" ht="24.75" hidden="false" customHeight="true" outlineLevel="0" collapsed="false">
      <c r="C17" s="43" t="s">
        <v>27</v>
      </c>
      <c r="D17" s="43"/>
      <c r="E17" s="44"/>
      <c r="F17" s="45"/>
      <c r="G17" s="45"/>
      <c r="H17" s="42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13"/>
      <c r="AM17" s="41"/>
      <c r="AN17" s="41"/>
      <c r="AO17" s="41"/>
      <c r="AP17" s="41"/>
      <c r="AQ17" s="37"/>
      <c r="AS17" s="10" t="n">
        <f aca="false">MAX(0,INT((G17-F17)/7))</f>
        <v>0</v>
      </c>
      <c r="AT17" s="31" t="n">
        <f aca="false">AS17*$D$36*E17</f>
        <v>0</v>
      </c>
      <c r="AU17" s="32" t="n">
        <f aca="false">AT17*$D$37</f>
        <v>0</v>
      </c>
    </row>
    <row r="18" customFormat="false" ht="21" hidden="false" customHeight="true" outlineLevel="0" collapsed="false">
      <c r="C18" s="38" t="s">
        <v>28</v>
      </c>
      <c r="D18" s="38" t="s">
        <v>17</v>
      </c>
      <c r="E18" s="47" t="n">
        <v>0.5</v>
      </c>
      <c r="F18" s="40" t="n">
        <v>45971</v>
      </c>
      <c r="G18" s="40" t="n">
        <v>46111</v>
      </c>
      <c r="H18" s="42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13"/>
      <c r="AM18" s="41"/>
      <c r="AN18" s="41"/>
      <c r="AO18" s="41"/>
      <c r="AP18" s="41"/>
      <c r="AQ18" s="37"/>
      <c r="AS18" s="10" t="n">
        <f aca="false">MAX(0,INT((G18-F18)/7))</f>
        <v>20</v>
      </c>
      <c r="AT18" s="31" t="n">
        <f aca="false">AS18*$D$36*E18</f>
        <v>30</v>
      </c>
      <c r="AU18" s="32" t="n">
        <f aca="false">AT18*$D$37</f>
        <v>450</v>
      </c>
    </row>
    <row r="19" customFormat="false" ht="21" hidden="false" customHeight="true" outlineLevel="0" collapsed="false">
      <c r="C19" s="38"/>
      <c r="D19" s="38"/>
      <c r="E19" s="49"/>
      <c r="F19" s="40"/>
      <c r="G19" s="40"/>
      <c r="H19" s="42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13"/>
      <c r="AM19" s="41"/>
      <c r="AN19" s="41"/>
      <c r="AO19" s="41"/>
      <c r="AP19" s="41"/>
      <c r="AQ19" s="37"/>
      <c r="AS19" s="10" t="n">
        <f aca="false">MAX(0,INT((G19-F19)/7))</f>
        <v>0</v>
      </c>
      <c r="AT19" s="31" t="n">
        <f aca="false">AS19*$D$36*E19</f>
        <v>0</v>
      </c>
      <c r="AU19" s="32" t="n">
        <f aca="false">AT19*$D$37</f>
        <v>0</v>
      </c>
    </row>
    <row r="20" customFormat="false" ht="21" hidden="false" customHeight="true" outlineLevel="0" collapsed="false">
      <c r="C20" s="38"/>
      <c r="D20" s="38"/>
      <c r="E20" s="49"/>
      <c r="F20" s="40"/>
      <c r="G20" s="40"/>
      <c r="H20" s="42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13"/>
      <c r="AM20" s="41"/>
      <c r="AN20" s="41"/>
      <c r="AO20" s="41"/>
      <c r="AP20" s="41"/>
      <c r="AQ20" s="37"/>
      <c r="AS20" s="10" t="n">
        <f aca="false">MAX(0,INT((G20-F20)/7))</f>
        <v>0</v>
      </c>
      <c r="AT20" s="31" t="n">
        <f aca="false">AS20*$D$36*E20</f>
        <v>0</v>
      </c>
      <c r="AU20" s="32" t="n">
        <f aca="false">AT20*$D$37</f>
        <v>0</v>
      </c>
    </row>
    <row r="21" customFormat="false" ht="21" hidden="false" customHeight="true" outlineLevel="0" collapsed="false">
      <c r="C21" s="38"/>
      <c r="D21" s="38"/>
      <c r="E21" s="49"/>
      <c r="F21" s="40"/>
      <c r="G21" s="40"/>
      <c r="H21" s="42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13"/>
      <c r="AM21" s="41"/>
      <c r="AN21" s="41"/>
      <c r="AO21" s="41"/>
      <c r="AP21" s="41"/>
      <c r="AQ21" s="37"/>
      <c r="AS21" s="10" t="n">
        <f aca="false">MAX(0,INT((G21-F21)/7))</f>
        <v>0</v>
      </c>
      <c r="AT21" s="31" t="n">
        <f aca="false">AS21*$D$36*E21</f>
        <v>0</v>
      </c>
      <c r="AU21" s="32" t="n">
        <f aca="false">AT21*$D$37</f>
        <v>0</v>
      </c>
    </row>
    <row r="22" customFormat="false" ht="24.75" hidden="false" customHeight="true" outlineLevel="0" collapsed="false">
      <c r="C22" s="43" t="s">
        <v>29</v>
      </c>
      <c r="D22" s="43"/>
      <c r="E22" s="44"/>
      <c r="F22" s="49"/>
      <c r="G22" s="49"/>
      <c r="H22" s="42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13"/>
      <c r="AM22" s="41"/>
      <c r="AN22" s="41"/>
      <c r="AO22" s="41"/>
      <c r="AP22" s="41"/>
      <c r="AQ22" s="37"/>
      <c r="AS22" s="10" t="n">
        <f aca="false">MAX(0,INT((G22-F22)/7))</f>
        <v>0</v>
      </c>
      <c r="AT22" s="31" t="n">
        <f aca="false">AS22*$D$36*E22</f>
        <v>0</v>
      </c>
      <c r="AU22" s="32" t="n">
        <f aca="false">AT22*$D$37</f>
        <v>0</v>
      </c>
    </row>
    <row r="23" customFormat="false" ht="21" hidden="false" customHeight="true" outlineLevel="0" collapsed="false">
      <c r="C23" s="38"/>
      <c r="D23" s="38"/>
      <c r="E23" s="49"/>
      <c r="F23" s="40"/>
      <c r="G23" s="40"/>
      <c r="H23" s="42"/>
      <c r="I23" s="41"/>
      <c r="J23" s="41"/>
      <c r="K23" s="41"/>
      <c r="L23" s="41"/>
      <c r="M23" s="50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13"/>
      <c r="AM23" s="41"/>
      <c r="AN23" s="41"/>
      <c r="AO23" s="41"/>
      <c r="AP23" s="41"/>
      <c r="AQ23" s="37"/>
      <c r="AS23" s="10" t="n">
        <f aca="false">MAX(0,INT((G23-F23)/7))</f>
        <v>0</v>
      </c>
      <c r="AT23" s="31" t="n">
        <f aca="false">AS23*$D$36*E23</f>
        <v>0</v>
      </c>
      <c r="AU23" s="32" t="n">
        <f aca="false">AT23*$D$37</f>
        <v>0</v>
      </c>
    </row>
    <row r="24" customFormat="false" ht="21" hidden="false" customHeight="true" outlineLevel="0" collapsed="false">
      <c r="C24" s="38"/>
      <c r="D24" s="38"/>
      <c r="E24" s="49"/>
      <c r="F24" s="40"/>
      <c r="G24" s="40"/>
      <c r="H24" s="42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13"/>
      <c r="AM24" s="41"/>
      <c r="AN24" s="41"/>
      <c r="AO24" s="41"/>
      <c r="AP24" s="41"/>
      <c r="AQ24" s="37"/>
      <c r="AS24" s="10" t="n">
        <f aca="false">MAX(0,INT((G24-F24)/7))</f>
        <v>0</v>
      </c>
      <c r="AT24" s="31" t="n">
        <f aca="false">AS24*$D$36*E24</f>
        <v>0</v>
      </c>
      <c r="AU24" s="32" t="n">
        <f aca="false">AT24*$D$37</f>
        <v>0</v>
      </c>
    </row>
    <row r="25" customFormat="false" ht="21" hidden="false" customHeight="true" outlineLevel="0" collapsed="false">
      <c r="C25" s="38"/>
      <c r="D25" s="38"/>
      <c r="E25" s="49"/>
      <c r="F25" s="40"/>
      <c r="G25" s="40"/>
      <c r="H25" s="42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13"/>
      <c r="AM25" s="41"/>
      <c r="AN25" s="41"/>
      <c r="AO25" s="41"/>
      <c r="AP25" s="41"/>
      <c r="AQ25" s="37"/>
      <c r="AS25" s="10" t="n">
        <f aca="false">MAX(0,INT((G25-F25)/7))</f>
        <v>0</v>
      </c>
      <c r="AT25" s="31" t="n">
        <f aca="false">AS25*$D$36*E25</f>
        <v>0</v>
      </c>
      <c r="AU25" s="32" t="n">
        <f aca="false">AT25*$D$37</f>
        <v>0</v>
      </c>
    </row>
    <row r="26" customFormat="false" ht="21" hidden="false" customHeight="true" outlineLevel="0" collapsed="false">
      <c r="C26" s="38"/>
      <c r="D26" s="38"/>
      <c r="E26" s="49"/>
      <c r="F26" s="40"/>
      <c r="G26" s="40"/>
      <c r="H26" s="42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13"/>
      <c r="AM26" s="41"/>
      <c r="AN26" s="41"/>
      <c r="AO26" s="41"/>
      <c r="AP26" s="41"/>
      <c r="AQ26" s="37"/>
      <c r="AS26" s="10" t="n">
        <f aca="false">MAX(0,INT((G26-F26)/7))</f>
        <v>0</v>
      </c>
      <c r="AT26" s="31" t="n">
        <f aca="false">AS26*$D$36*E26</f>
        <v>0</v>
      </c>
      <c r="AU26" s="32" t="n">
        <f aca="false">AT26*$D$37</f>
        <v>0</v>
      </c>
    </row>
    <row r="27" customFormat="false" ht="14.25" hidden="false" customHeight="true" outlineLevel="0" collapsed="false">
      <c r="AL27" s="2"/>
      <c r="AS27" s="10"/>
      <c r="AT27" s="31"/>
      <c r="AU27" s="32"/>
    </row>
    <row r="28" customFormat="false" ht="14.25" hidden="false" customHeight="true" outlineLevel="0" collapsed="false">
      <c r="AL28" s="2"/>
      <c r="AS28" s="10"/>
      <c r="AT28" s="31"/>
      <c r="AU28" s="32"/>
    </row>
    <row r="29" customFormat="false" ht="14.25" hidden="false" customHeight="true" outlineLevel="0" collapsed="false">
      <c r="C29" s="51"/>
      <c r="D29" s="52"/>
      <c r="E29" s="52"/>
      <c r="F29" s="53"/>
      <c r="AL29" s="2"/>
      <c r="AS29" s="10"/>
      <c r="AT29" s="31"/>
      <c r="AU29" s="32"/>
    </row>
    <row r="30" customFormat="false" ht="18.75" hidden="false" customHeight="true" outlineLevel="0" collapsed="false">
      <c r="C30" s="54" t="s">
        <v>30</v>
      </c>
      <c r="D30" s="55" t="s">
        <v>31</v>
      </c>
      <c r="E30" s="55"/>
      <c r="F30" s="55"/>
      <c r="AL30" s="2"/>
      <c r="AS30" s="56" t="n">
        <f aca="false">SUM(AS8:AS26)</f>
        <v>91</v>
      </c>
      <c r="AT30" s="57" t="n">
        <f aca="false">SUM(AT8:AT26)</f>
        <v>186.9</v>
      </c>
      <c r="AU30" s="58" t="n">
        <f aca="false">SUM(AU8:AU26)</f>
        <v>2803.5</v>
      </c>
    </row>
    <row r="31" customFormat="false" ht="14.25" hidden="false" customHeight="true" outlineLevel="0" collapsed="false">
      <c r="C31" s="59"/>
      <c r="D31" s="55" t="s">
        <v>32</v>
      </c>
      <c r="E31" s="55"/>
      <c r="F31" s="55"/>
      <c r="AL31" s="2"/>
    </row>
    <row r="32" customFormat="false" ht="14.25" hidden="false" customHeight="true" outlineLevel="0" collapsed="false">
      <c r="C32" s="59"/>
      <c r="D32" s="55" t="s">
        <v>33</v>
      </c>
      <c r="E32" s="55"/>
      <c r="F32" s="55"/>
      <c r="J32" s="60"/>
      <c r="K32" s="60"/>
      <c r="L32" s="60"/>
      <c r="AL32" s="2"/>
    </row>
    <row r="33" customFormat="false" ht="14.25" hidden="false" customHeight="true" outlineLevel="0" collapsed="false">
      <c r="C33" s="59"/>
      <c r="D33" s="55"/>
      <c r="E33" s="55"/>
      <c r="F33" s="55"/>
      <c r="J33" s="60"/>
      <c r="K33" s="60"/>
      <c r="L33" s="60"/>
      <c r="AL33" s="2"/>
    </row>
    <row r="34" customFormat="false" ht="14.25" hidden="false" customHeight="true" outlineLevel="0" collapsed="false">
      <c r="C34" s="59"/>
      <c r="D34" s="1"/>
      <c r="E34" s="1"/>
      <c r="F34" s="61"/>
      <c r="J34" s="60"/>
      <c r="K34" s="60"/>
      <c r="L34" s="60"/>
      <c r="AL34" s="2"/>
    </row>
    <row r="35" customFormat="false" ht="14.25" hidden="false" customHeight="true" outlineLevel="0" collapsed="false">
      <c r="C35" s="59"/>
      <c r="D35" s="1"/>
      <c r="E35" s="1"/>
      <c r="F35" s="61"/>
      <c r="J35" s="60"/>
      <c r="K35" s="60"/>
      <c r="L35" s="60"/>
      <c r="AL35" s="2"/>
    </row>
    <row r="36" customFormat="false" ht="14.25" hidden="false" customHeight="true" outlineLevel="0" collapsed="false">
      <c r="C36" s="62" t="s">
        <v>34</v>
      </c>
      <c r="D36" s="63" t="n">
        <v>3</v>
      </c>
      <c r="E36" s="64"/>
      <c r="F36" s="61"/>
      <c r="J36" s="60"/>
      <c r="K36" s="60"/>
      <c r="L36" s="60"/>
      <c r="AL36" s="2"/>
    </row>
    <row r="37" customFormat="false" ht="14.25" hidden="false" customHeight="true" outlineLevel="0" collapsed="false">
      <c r="C37" s="62" t="s">
        <v>35</v>
      </c>
      <c r="D37" s="63" t="n">
        <v>15</v>
      </c>
      <c r="E37" s="64"/>
      <c r="F37" s="61"/>
      <c r="J37" s="60"/>
      <c r="K37" s="60"/>
      <c r="L37" s="60"/>
      <c r="AL37" s="2"/>
    </row>
    <row r="38" customFormat="false" ht="14.25" hidden="false" customHeight="true" outlineLevel="0" collapsed="false">
      <c r="C38" s="65"/>
      <c r="E38" s="64"/>
      <c r="F38" s="66"/>
      <c r="AL38" s="2"/>
    </row>
    <row r="39" customFormat="false" ht="14.25" hidden="false" customHeight="true" outlineLevel="0" collapsed="false">
      <c r="C39" s="67"/>
      <c r="D39" s="36"/>
      <c r="E39" s="36"/>
      <c r="F39" s="68"/>
      <c r="AL39" s="2"/>
    </row>
  </sheetData>
  <mergeCells count="14">
    <mergeCell ref="C2:G2"/>
    <mergeCell ref="C3:D3"/>
    <mergeCell ref="I3:L3"/>
    <mergeCell ref="M3:P3"/>
    <mergeCell ref="Q3:T3"/>
    <mergeCell ref="V3:Y3"/>
    <mergeCell ref="Z3:AC3"/>
    <mergeCell ref="AD3:AG3"/>
    <mergeCell ref="AI3:AL3"/>
    <mergeCell ref="AM3:AP3"/>
    <mergeCell ref="D30:F30"/>
    <mergeCell ref="D31:F31"/>
    <mergeCell ref="D32:F32"/>
    <mergeCell ref="D33:F33"/>
  </mergeCells>
  <conditionalFormatting sqref="E8:E26">
    <cfRule type="dataBar" priority="2">
      <dataBar showValue="1" minLength="10" maxLength="90">
        <cfvo type="num" val="0"/>
        <cfvo type="num" val="1"/>
        <color rgb="FFE59EDD"/>
      </dataBar>
      <extLst>
        <ext xmlns:x14="http://schemas.microsoft.com/office/spreadsheetml/2009/9/main" uri="{B025F937-C7B1-47D3-B67F-A62EFF666E3E}">
          <x14:id>{2B4C9EF1-4814-4C7F-A5E4-2D45E9B745D6}</x14:id>
        </ext>
      </extLst>
    </cfRule>
  </conditionalFormatting>
  <conditionalFormatting sqref="H8:AP8 I9:AP11 I13:V26 Y13:AD26 AG13:AL26 AO13:AP26">
    <cfRule type="expression" priority="3" aboveAverage="0" equalAverage="0" bottom="0" percent="0" rank="0" text="" dxfId="0">
      <formula>AND(H$5&gt;=$F8,H$5&lt;=$G8)</formula>
    </cfRule>
  </conditionalFormatting>
  <conditionalFormatting sqref="H8:AP8 I5:AQ7 I9:AP26 AQ8:AQ26">
    <cfRule type="expression" priority="4" aboveAverage="0" equalAverage="0" bottom="0" percent="0" rank="0" text="" dxfId="1">
      <formula>AND(H$5&lt;=TODAY(), (I$5-7)&lt;=TODAY(),I$5&gt;=TODAY())</formula>
    </cfRule>
  </conditionalFormatting>
  <conditionalFormatting sqref="I7:AQ26">
    <cfRule type="expression" priority="5" aboveAverage="0" equalAverage="0" bottom="0" percent="0" rank="0" text="" dxfId="2">
      <formula>AND($F7&lt;&gt;"", $G7&lt;&gt;"", I$5&gt;=$F7, I$5&lt;=$G7)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4C9EF1-4814-4C7F-A5E4-2D45E9B745D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59EDD"/>
              <x14:axisColor rgb="FF000000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2025-10-22T05:40:21Z</dcterms:created>
  <dc:creator>Marco Canali</dc:creator>
  <dc:description/>
  <dc:language>en-US</dc:language>
  <cp:lastModifiedBy>fabio</cp:lastModifiedBy>
  <dcterms:modified xsi:type="dcterms:W3CDTF">2026-04-29T08:41:30Z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