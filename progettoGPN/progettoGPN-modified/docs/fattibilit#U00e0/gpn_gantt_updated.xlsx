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o\OneDrive - ISTITUTO COMPRENSIVO VERTOVA\Desktop\"/>
    </mc:Choice>
  </mc:AlternateContent>
  <bookViews>
    <workbookView xWindow="0" yWindow="0" windowWidth="23040" windowHeight="9072" tabRatio="500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26" i="1" l="1"/>
  <c r="AT26" i="1" s="1"/>
  <c r="AU26" i="1" s="1"/>
  <c r="AT25" i="1"/>
  <c r="AU25" i="1" s="1"/>
  <c r="AS25" i="1"/>
  <c r="AS24" i="1"/>
  <c r="AT24" i="1" s="1"/>
  <c r="AU24" i="1" s="1"/>
  <c r="AT23" i="1"/>
  <c r="AU23" i="1" s="1"/>
  <c r="AS23" i="1"/>
  <c r="AU22" i="1"/>
  <c r="AT22" i="1"/>
  <c r="AS22" i="1"/>
  <c r="AT21" i="1"/>
  <c r="AU21" i="1" s="1"/>
  <c r="AS21" i="1"/>
  <c r="AS20" i="1"/>
  <c r="AT20" i="1" s="1"/>
  <c r="AU20" i="1" s="1"/>
  <c r="AS19" i="1"/>
  <c r="AT19" i="1" s="1"/>
  <c r="AU19" i="1" s="1"/>
  <c r="AS18" i="1"/>
  <c r="AT18" i="1" s="1"/>
  <c r="AU18" i="1" s="1"/>
  <c r="AT17" i="1"/>
  <c r="AU17" i="1" s="1"/>
  <c r="AS17" i="1"/>
  <c r="AS16" i="1"/>
  <c r="AT16" i="1" s="1"/>
  <c r="AU16" i="1" s="1"/>
  <c r="AS15" i="1"/>
  <c r="AT15" i="1" s="1"/>
  <c r="AU15" i="1" s="1"/>
  <c r="AS14" i="1"/>
  <c r="AT14" i="1" s="1"/>
  <c r="AU14" i="1" s="1"/>
  <c r="AS13" i="1"/>
  <c r="AT13" i="1" s="1"/>
  <c r="AU13" i="1" s="1"/>
  <c r="AS12" i="1"/>
  <c r="AT12" i="1" s="1"/>
  <c r="AU12" i="1" s="1"/>
  <c r="AS11" i="1"/>
  <c r="AT11" i="1" s="1"/>
  <c r="AU11" i="1" s="1"/>
  <c r="AS10" i="1"/>
  <c r="AT10" i="1" s="1"/>
  <c r="AU10" i="1" s="1"/>
  <c r="AS9" i="1"/>
  <c r="AT9" i="1" s="1"/>
  <c r="AU9" i="1" s="1"/>
  <c r="AS8" i="1"/>
  <c r="AQ3" i="1"/>
  <c r="AM3" i="1"/>
  <c r="AI3" i="1"/>
  <c r="AD3" i="1"/>
  <c r="Z3" i="1"/>
  <c r="V3" i="1"/>
  <c r="Q3" i="1"/>
  <c r="M3" i="1"/>
  <c r="I3" i="1"/>
  <c r="AS30" i="1" l="1"/>
  <c r="AT8" i="1"/>
  <c r="AT30" i="1" l="1"/>
  <c r="AU8" i="1"/>
  <c r="AU30" i="1" s="1"/>
</calcChain>
</file>

<file path=xl/sharedStrings.xml><?xml version="1.0" encoding="utf-8"?>
<sst xmlns="http://schemas.openxmlformats.org/spreadsheetml/2006/main" count="39" uniqueCount="36">
  <si>
    <t>Scambio Schemi Progetto GPN</t>
  </si>
  <si>
    <t>Project Start: 6 October 2025</t>
  </si>
  <si>
    <t>Month</t>
  </si>
  <si>
    <t>Week</t>
  </si>
  <si>
    <t>Days</t>
  </si>
  <si>
    <t>Weeks #</t>
  </si>
  <si>
    <t>Hours #</t>
  </si>
  <si>
    <t>Cost €</t>
  </si>
  <si>
    <t>TASK</t>
  </si>
  <si>
    <t>ASSIGNED</t>
  </si>
  <si>
    <t>%</t>
  </si>
  <si>
    <t xml:space="preserve">START </t>
  </si>
  <si>
    <t>END</t>
  </si>
  <si>
    <t>fattibilita</t>
  </si>
  <si>
    <t>studio di fattibilità</t>
  </si>
  <si>
    <t>N</t>
  </si>
  <si>
    <t>excel</t>
  </si>
  <si>
    <t>GN</t>
  </si>
  <si>
    <t>requirement</t>
  </si>
  <si>
    <t>readme</t>
  </si>
  <si>
    <t>GP</t>
  </si>
  <si>
    <t>Front-end</t>
  </si>
  <si>
    <t xml:space="preserve"> .html</t>
  </si>
  <si>
    <t>G</t>
  </si>
  <si>
    <t>form</t>
  </si>
  <si>
    <t>P</t>
  </si>
  <si>
    <t>.css</t>
  </si>
  <si>
    <t>Back-end</t>
  </si>
  <si>
    <t>data base</t>
  </si>
  <si>
    <t>Selling</t>
  </si>
  <si>
    <t>Componenti:</t>
  </si>
  <si>
    <t>N= Brusa Noemi</t>
  </si>
  <si>
    <t>P= Calegari Paola</t>
  </si>
  <si>
    <t>G= Guidi Ginevra</t>
  </si>
  <si>
    <t>Ore/sett per persona:</t>
  </si>
  <si>
    <t>Tariffa oraria (€/h):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</si>
</sst>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\-mmm;@"/>
    <numFmt numFmtId="165" formatCode="[$-409]mmmmm;@"/>
    <numFmt numFmtId="166" formatCode="d\-mmm"/>
    <numFmt numFmtId="167" formatCode="m/d/yyyy"/>
    <numFmt numFmtId="168" formatCode="#,##0.00\ [$€-410]"/>
  </numFmts>
  <fonts count="11">
    <font>
      <sz val="11"/>
      <color theme="1"/>
      <name val="Aptos Narrow"/>
      <family val="2"/>
      <charset val="1"/>
    </font>
    <font>
      <sz val="25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13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5"/>
      <color theme="1"/>
      <name val="Aptos Narrow"/>
      <family val="2"/>
      <charset val="1"/>
    </font>
    <font>
      <sz val="13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sz val="15"/>
      <color theme="1"/>
      <name val="Aptos Narrow"/>
      <family val="2"/>
      <charset val="1"/>
    </font>
    <font>
      <b/>
      <sz val="10"/>
      <name val="Cambria"/>
      <charset val="1"/>
    </font>
    <font>
      <b/>
      <sz val="11"/>
      <color rgb="FF0000FF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theme="6" tint="0.79979857783745845"/>
        <bgColor rgb="FFD9F2D0"/>
      </patternFill>
    </fill>
    <fill>
      <patternFill patternType="solid">
        <fgColor theme="0" tint="-4.9989318521683403E-2"/>
        <bgColor rgb="FFEFF9EB"/>
      </patternFill>
    </fill>
    <fill>
      <patternFill patternType="solid">
        <fgColor theme="9" tint="0.79979857783745845"/>
        <bgColor rgb="FFC2F1C8"/>
      </patternFill>
    </fill>
    <fill>
      <patternFill patternType="solid">
        <fgColor rgb="FFEFF9EB"/>
        <bgColor rgb="FFF2F2F2"/>
      </patternFill>
    </fill>
    <fill>
      <patternFill patternType="solid">
        <fgColor theme="0" tint="-0.14999847407452621"/>
        <bgColor rgb="FFD9F2D0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1" tint="0.49977111117893003"/>
        <bgColor rgb="FF666699"/>
      </patternFill>
    </fill>
    <fill>
      <patternFill patternType="solid">
        <fgColor rgb="FFE89078"/>
        <bgColor rgb="FFE59EDD"/>
      </patternFill>
    </fill>
    <fill>
      <patternFill patternType="solid">
        <fgColor theme="2" tint="-0.749992370372631"/>
        <bgColor rgb="FF333300"/>
      </patternFill>
    </fill>
    <fill>
      <patternFill patternType="solid">
        <fgColor theme="8" tint="0.59978026673177287"/>
        <bgColor rgb="FFBFBFB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0" xfId="0" applyFont="1" applyFill="1" applyAlignment="1">
      <alignment horizontal="center"/>
    </xf>
    <xf numFmtId="166" fontId="2" fillId="3" borderId="4" xfId="0" applyNumberFormat="1" applyFont="1" applyFill="1" applyBorder="1" applyAlignment="1">
      <alignment horizontal="center"/>
    </xf>
    <xf numFmtId="166" fontId="2" fillId="6" borderId="0" xfId="0" applyNumberFormat="1" applyFont="1" applyFill="1" applyAlignment="1">
      <alignment horizontal="center"/>
    </xf>
    <xf numFmtId="166" fontId="2" fillId="7" borderId="0" xfId="0" applyNumberFormat="1" applyFont="1" applyFill="1" applyAlignment="1">
      <alignment horizontal="center"/>
    </xf>
    <xf numFmtId="166" fontId="2" fillId="8" borderId="5" xfId="0" applyNumberFormat="1" applyFont="1" applyFill="1" applyBorder="1" applyAlignment="1">
      <alignment horizontal="center"/>
    </xf>
    <xf numFmtId="166" fontId="2" fillId="8" borderId="0" xfId="0" applyNumberFormat="1" applyFont="1" applyFill="1" applyAlignment="1">
      <alignment horizontal="center"/>
    </xf>
    <xf numFmtId="166" fontId="2" fillId="9" borderId="5" xfId="0" applyNumberFormat="1" applyFont="1" applyFill="1" applyBorder="1" applyAlignment="1">
      <alignment horizontal="center"/>
    </xf>
    <xf numFmtId="166" fontId="2" fillId="10" borderId="4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/>
    <xf numFmtId="0" fontId="4" fillId="11" borderId="0" xfId="0" applyFont="1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Font="1" applyBorder="1" applyAlignment="1">
      <alignment horizontal="left" vertical="center" indent="1"/>
    </xf>
    <xf numFmtId="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67" fontId="0" fillId="0" borderId="8" xfId="0" applyNumberFormat="1" applyBorder="1" applyAlignment="1">
      <alignment horizontal="left" vertical="center"/>
    </xf>
    <xf numFmtId="9" fontId="0" fillId="0" borderId="8" xfId="0" applyNumberFormat="1" applyBorder="1" applyAlignment="1">
      <alignment horizontal="left" vertical="center"/>
    </xf>
    <xf numFmtId="9" fontId="7" fillId="0" borderId="8" xfId="0" applyNumberFormat="1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indent="1"/>
    </xf>
    <xf numFmtId="0" fontId="0" fillId="0" borderId="8" xfId="0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8" fillId="0" borderId="4" xfId="0" applyFont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8" fontId="0" fillId="12" borderId="12" xfId="0" applyNumberFormat="1" applyFill="1" applyBorder="1" applyAlignment="1">
      <alignment horizontal="center"/>
    </xf>
    <xf numFmtId="0" fontId="0" fillId="0" borderId="4" xfId="0" applyBorder="1"/>
    <xf numFmtId="166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9" fillId="0" borderId="4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10" xfId="0" applyBorder="1"/>
    <xf numFmtId="0" fontId="0" fillId="0" borderId="13" xfId="0" applyBorder="1"/>
    <xf numFmtId="0" fontId="0" fillId="0" borderId="5" xfId="0" applyFon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/>
    </xf>
  </cellXfs>
  <cellStyles count="1">
    <cellStyle name="Normale" xfId="0" builtinId="0"/>
  </cellStyles>
  <dxfs count="3">
    <dxf>
      <fill>
        <patternFill>
          <bgColor rgb="FFADD8E6"/>
        </patternFill>
      </fill>
    </dxf>
    <dxf>
      <numFmt numFmtId="164" formatCode="[$-409]d\-mmm;@"/>
      <fill>
        <patternFill>
          <bgColor rgb="FF000000"/>
        </patternFill>
      </fill>
      <border diagonalUp="0" diagonalDown="0">
        <left style="thin">
          <color theme="8" tint="0.39979247413556324"/>
        </left>
        <right style="thin">
          <color theme="8" tint="0.39979247413556324"/>
        </right>
        <top/>
        <bottom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FF9EB"/>
      <rgbColor rgb="FFD9F2D0"/>
      <rgbColor rgb="FF660066"/>
      <rgbColor rgb="FFE8907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2F1C8"/>
      <rgbColor rgb="FFFFFF99"/>
      <rgbColor rgb="FFADD8E6"/>
      <rgbColor rgb="FFE59EDD"/>
      <rgbColor rgb="FFD86ECC"/>
      <rgbColor rgb="FFFFCC99"/>
      <rgbColor rgb="FF66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U39"/>
  <sheetViews>
    <sheetView showGridLines="0" tabSelected="1" topLeftCell="W1" zoomScale="91" zoomScaleNormal="91" workbookViewId="0">
      <selection activeCell="G9" sqref="G9"/>
    </sheetView>
  </sheetViews>
  <sheetFormatPr defaultColWidth="8.5" defaultRowHeight="13.8"/>
  <cols>
    <col min="1" max="1" width="2.19921875" customWidth="1"/>
    <col min="2" max="2" width="6.09765625" customWidth="1"/>
    <col min="3" max="3" width="23" customWidth="1"/>
    <col min="4" max="4" width="13.19921875" customWidth="1"/>
    <col min="5" max="5" width="9.3984375" customWidth="1"/>
    <col min="6" max="6" width="10.3984375" customWidth="1"/>
    <col min="7" max="7" width="10.69921875" customWidth="1"/>
    <col min="8" max="8" width="10.3984375" customWidth="1"/>
    <col min="9" max="9" width="5.59765625" style="1" customWidth="1"/>
    <col min="10" max="43" width="6.69921875" style="1" customWidth="1"/>
    <col min="45" max="49" width="13.69921875" customWidth="1"/>
  </cols>
  <sheetData>
    <row r="2" spans="3:47" ht="27" customHeight="1">
      <c r="C2" s="64" t="s">
        <v>0</v>
      </c>
      <c r="D2" s="64"/>
      <c r="E2" s="64"/>
      <c r="F2" s="64"/>
      <c r="G2" s="64"/>
    </row>
    <row r="3" spans="3:47" ht="14.25" customHeight="1">
      <c r="C3" s="65" t="s">
        <v>1</v>
      </c>
      <c r="D3" s="65"/>
      <c r="H3" s="2" t="s">
        <v>2</v>
      </c>
      <c r="I3" s="62" t="str">
        <f>TEXT(I5,"MMM")</f>
        <v>ott</v>
      </c>
      <c r="J3" s="62"/>
      <c r="K3" s="62"/>
      <c r="L3" s="62"/>
      <c r="M3" s="62" t="str">
        <f>TEXT(M5,"MMM")</f>
        <v>nov</v>
      </c>
      <c r="N3" s="62"/>
      <c r="O3" s="62"/>
      <c r="P3" s="62"/>
      <c r="Q3" s="63" t="str">
        <f>TEXT(Q5,"MMM")</f>
        <v>dic</v>
      </c>
      <c r="R3" s="63"/>
      <c r="S3" s="63"/>
      <c r="T3" s="63"/>
      <c r="U3" s="4"/>
      <c r="V3" s="62" t="str">
        <f>TEXT(V5,"MMM")</f>
        <v>gen</v>
      </c>
      <c r="W3" s="62"/>
      <c r="X3" s="62"/>
      <c r="Y3" s="62"/>
      <c r="Z3" s="62" t="str">
        <f>TEXT(Z5,"MMM")</f>
        <v>feb</v>
      </c>
      <c r="AA3" s="62"/>
      <c r="AB3" s="62"/>
      <c r="AC3" s="62"/>
      <c r="AD3" s="63" t="str">
        <f>TEXT(AD5,"MMM")</f>
        <v>mar</v>
      </c>
      <c r="AE3" s="63"/>
      <c r="AF3" s="63"/>
      <c r="AG3" s="63"/>
      <c r="AH3" s="4"/>
      <c r="AI3" s="62" t="str">
        <f>TEXT(AI5,"MMM")</f>
        <v>apr</v>
      </c>
      <c r="AJ3" s="62"/>
      <c r="AK3" s="62"/>
      <c r="AL3" s="62"/>
      <c r="AM3" s="62" t="str">
        <f>TEXT(AM5,"MMM")</f>
        <v>mag</v>
      </c>
      <c r="AN3" s="62"/>
      <c r="AO3" s="62"/>
      <c r="AP3" s="62"/>
      <c r="AQ3" s="3" t="str">
        <f>TEXT(AQ5,"MMM")</f>
        <v>giu</v>
      </c>
    </row>
    <row r="4" spans="3:47" ht="14.25" customHeight="1">
      <c r="H4" s="5" t="s">
        <v>3</v>
      </c>
      <c r="I4" s="6">
        <v>1</v>
      </c>
      <c r="J4" s="7">
        <v>2</v>
      </c>
      <c r="K4" s="7">
        <v>3</v>
      </c>
      <c r="L4" s="8">
        <v>4</v>
      </c>
      <c r="M4" s="6">
        <v>5</v>
      </c>
      <c r="N4" s="7">
        <v>6</v>
      </c>
      <c r="O4" s="7">
        <v>7</v>
      </c>
      <c r="P4" s="8">
        <v>8</v>
      </c>
      <c r="Q4" s="6">
        <v>9</v>
      </c>
      <c r="R4" s="7">
        <v>10</v>
      </c>
      <c r="S4" s="7">
        <v>11</v>
      </c>
      <c r="T4" s="7">
        <v>12</v>
      </c>
      <c r="U4" s="8">
        <v>13</v>
      </c>
      <c r="V4" s="6">
        <v>14</v>
      </c>
      <c r="W4" s="7">
        <v>15</v>
      </c>
      <c r="X4" s="7">
        <v>16</v>
      </c>
      <c r="Y4" s="8">
        <v>17</v>
      </c>
      <c r="Z4" s="6">
        <v>18</v>
      </c>
      <c r="AA4" s="7">
        <v>19</v>
      </c>
      <c r="AB4" s="7">
        <v>20</v>
      </c>
      <c r="AC4" s="8">
        <v>21</v>
      </c>
      <c r="AD4" s="6">
        <v>22</v>
      </c>
      <c r="AE4" s="7">
        <v>23</v>
      </c>
      <c r="AF4" s="7">
        <v>24</v>
      </c>
      <c r="AG4" s="7">
        <v>25</v>
      </c>
      <c r="AH4" s="8">
        <v>26</v>
      </c>
      <c r="AI4" s="6">
        <v>27</v>
      </c>
      <c r="AJ4" s="7">
        <v>28</v>
      </c>
      <c r="AK4" s="7">
        <v>29</v>
      </c>
      <c r="AL4" s="8">
        <v>30</v>
      </c>
      <c r="AM4" s="6">
        <v>31</v>
      </c>
      <c r="AN4" s="7">
        <v>32</v>
      </c>
      <c r="AO4" s="7">
        <v>33</v>
      </c>
      <c r="AP4" s="8">
        <v>34</v>
      </c>
      <c r="AQ4" s="6">
        <v>35</v>
      </c>
    </row>
    <row r="5" spans="3:47" ht="14.25" customHeight="1">
      <c r="H5" s="9" t="s">
        <v>4</v>
      </c>
      <c r="I5" s="10">
        <v>45936</v>
      </c>
      <c r="J5" s="11">
        <v>45943</v>
      </c>
      <c r="K5" s="12">
        <v>45950</v>
      </c>
      <c r="L5" s="13">
        <v>45957</v>
      </c>
      <c r="M5" s="10">
        <v>45964</v>
      </c>
      <c r="N5" s="11">
        <v>45971</v>
      </c>
      <c r="O5" s="12">
        <v>45978</v>
      </c>
      <c r="P5" s="13">
        <v>45985</v>
      </c>
      <c r="Q5" s="10">
        <v>45992</v>
      </c>
      <c r="R5" s="11">
        <v>45999</v>
      </c>
      <c r="S5" s="12">
        <v>46006</v>
      </c>
      <c r="T5" s="14">
        <v>46013</v>
      </c>
      <c r="U5" s="15">
        <v>46020</v>
      </c>
      <c r="V5" s="10">
        <v>46027</v>
      </c>
      <c r="W5" s="11">
        <v>46034</v>
      </c>
      <c r="X5" s="12">
        <v>46041</v>
      </c>
      <c r="Y5" s="13">
        <v>46048</v>
      </c>
      <c r="Z5" s="10">
        <v>46055</v>
      </c>
      <c r="AA5" s="11">
        <v>46062</v>
      </c>
      <c r="AB5" s="12">
        <v>46069</v>
      </c>
      <c r="AC5" s="13">
        <v>46076</v>
      </c>
      <c r="AD5" s="10">
        <v>46083</v>
      </c>
      <c r="AE5" s="11">
        <v>46090</v>
      </c>
      <c r="AF5" s="12">
        <v>46097</v>
      </c>
      <c r="AG5" s="14">
        <v>46104</v>
      </c>
      <c r="AH5" s="15">
        <v>46111</v>
      </c>
      <c r="AI5" s="10">
        <v>46118</v>
      </c>
      <c r="AJ5" s="11">
        <v>46125</v>
      </c>
      <c r="AK5" s="12">
        <v>46132</v>
      </c>
      <c r="AL5" s="13">
        <v>46139</v>
      </c>
      <c r="AM5" s="10">
        <v>46146</v>
      </c>
      <c r="AN5" s="11">
        <v>46153</v>
      </c>
      <c r="AO5" s="12">
        <v>46160</v>
      </c>
      <c r="AP5" s="13">
        <v>46167</v>
      </c>
      <c r="AQ5" s="16">
        <v>46174</v>
      </c>
      <c r="AS5" s="17" t="s">
        <v>5</v>
      </c>
      <c r="AT5" s="18" t="s">
        <v>6</v>
      </c>
      <c r="AU5" s="19" t="s">
        <v>7</v>
      </c>
    </row>
    <row r="6" spans="3:47" ht="21" customHeight="1">
      <c r="C6" s="20" t="s">
        <v>8</v>
      </c>
      <c r="D6" s="20" t="s">
        <v>9</v>
      </c>
      <c r="E6" s="20" t="s">
        <v>10</v>
      </c>
      <c r="F6" s="21" t="s">
        <v>11</v>
      </c>
      <c r="G6" s="21" t="s">
        <v>12</v>
      </c>
      <c r="H6" s="22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S6" s="6"/>
      <c r="AT6" s="24"/>
      <c r="AU6" s="25"/>
    </row>
    <row r="7" spans="3:47" ht="24.75" customHeight="1">
      <c r="C7" s="26" t="s">
        <v>13</v>
      </c>
      <c r="D7" s="26"/>
      <c r="E7" s="27"/>
      <c r="F7" s="28"/>
      <c r="G7" s="28"/>
      <c r="H7" s="29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S7" s="6"/>
      <c r="AT7" s="24"/>
      <c r="AU7" s="25"/>
    </row>
    <row r="8" spans="3:47" ht="21" customHeight="1">
      <c r="C8" s="31" t="s">
        <v>14</v>
      </c>
      <c r="D8" s="31" t="s">
        <v>15</v>
      </c>
      <c r="E8" s="32">
        <v>1</v>
      </c>
      <c r="F8" s="33">
        <v>45936</v>
      </c>
      <c r="G8" s="33">
        <v>45974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0"/>
      <c r="AS8" s="6">
        <f t="shared" ref="AS8:AS26" si="0">MAX(0,INT((G8-F8)/7))</f>
        <v>5</v>
      </c>
      <c r="AT8" s="24">
        <f t="shared" ref="AT8:AT26" si="1">AS8*$D$36*E8</f>
        <v>15</v>
      </c>
      <c r="AU8" s="25">
        <f t="shared" ref="AU8:AU26" si="2">AT8*$D$37</f>
        <v>225</v>
      </c>
    </row>
    <row r="9" spans="3:47" ht="21" customHeight="1">
      <c r="C9" s="31" t="s">
        <v>16</v>
      </c>
      <c r="D9" s="31" t="s">
        <v>17</v>
      </c>
      <c r="E9" s="32">
        <v>1</v>
      </c>
      <c r="F9" s="33">
        <v>45955</v>
      </c>
      <c r="G9" s="33">
        <v>46176</v>
      </c>
      <c r="H9" s="35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0"/>
      <c r="AS9" s="6">
        <f t="shared" si="0"/>
        <v>31</v>
      </c>
      <c r="AT9" s="24">
        <f t="shared" si="1"/>
        <v>93</v>
      </c>
      <c r="AU9" s="25">
        <f t="shared" si="2"/>
        <v>1395</v>
      </c>
    </row>
    <row r="10" spans="3:47" ht="21" customHeight="1">
      <c r="C10" s="31" t="s">
        <v>18</v>
      </c>
      <c r="D10" s="31" t="s">
        <v>15</v>
      </c>
      <c r="E10" s="32">
        <v>1</v>
      </c>
      <c r="F10" s="33">
        <v>45971</v>
      </c>
      <c r="G10" s="33">
        <v>46002</v>
      </c>
      <c r="H10" s="35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0"/>
      <c r="AS10" s="6">
        <f t="shared" si="0"/>
        <v>4</v>
      </c>
      <c r="AT10" s="24">
        <f t="shared" si="1"/>
        <v>12</v>
      </c>
      <c r="AU10" s="25">
        <f t="shared" si="2"/>
        <v>180</v>
      </c>
    </row>
    <row r="11" spans="3:47" ht="21" customHeight="1">
      <c r="C11" s="31" t="s">
        <v>19</v>
      </c>
      <c r="D11" s="31" t="s">
        <v>20</v>
      </c>
      <c r="E11" s="32">
        <v>1</v>
      </c>
      <c r="F11" s="33">
        <v>45936</v>
      </c>
      <c r="G11" s="33">
        <v>45950</v>
      </c>
      <c r="H11" s="35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0"/>
      <c r="AS11" s="6">
        <f t="shared" si="0"/>
        <v>2</v>
      </c>
      <c r="AT11" s="24">
        <f t="shared" si="1"/>
        <v>6</v>
      </c>
      <c r="AU11" s="25">
        <f t="shared" si="2"/>
        <v>90</v>
      </c>
    </row>
    <row r="12" spans="3:47" ht="24.75" customHeight="1">
      <c r="C12" s="36" t="s">
        <v>21</v>
      </c>
      <c r="D12" s="36"/>
      <c r="E12" s="37"/>
      <c r="F12" s="38"/>
      <c r="G12" s="38"/>
      <c r="H12" s="3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0"/>
      <c r="AS12" s="6">
        <f t="shared" si="0"/>
        <v>0</v>
      </c>
      <c r="AT12" s="24">
        <f t="shared" si="1"/>
        <v>0</v>
      </c>
      <c r="AU12" s="25">
        <f t="shared" si="2"/>
        <v>0</v>
      </c>
    </row>
    <row r="13" spans="3:47" ht="21" customHeight="1">
      <c r="C13" s="31" t="s">
        <v>22</v>
      </c>
      <c r="D13" s="31" t="s">
        <v>23</v>
      </c>
      <c r="E13" s="39">
        <v>1</v>
      </c>
      <c r="F13" s="33">
        <v>45945</v>
      </c>
      <c r="G13" s="33">
        <v>46176</v>
      </c>
      <c r="H13" s="35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0"/>
      <c r="AS13" s="6">
        <f t="shared" si="0"/>
        <v>33</v>
      </c>
      <c r="AT13" s="24">
        <f t="shared" si="1"/>
        <v>99</v>
      </c>
      <c r="AU13" s="25">
        <f t="shared" si="2"/>
        <v>1485</v>
      </c>
    </row>
    <row r="14" spans="3:47" ht="21" customHeight="1">
      <c r="C14" s="31" t="s">
        <v>24</v>
      </c>
      <c r="D14" s="31" t="s">
        <v>25</v>
      </c>
      <c r="E14" s="40">
        <v>1</v>
      </c>
      <c r="F14" s="33">
        <v>45948</v>
      </c>
      <c r="G14" s="33">
        <v>45984</v>
      </c>
      <c r="H14" s="35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0"/>
      <c r="AS14" s="6">
        <f t="shared" si="0"/>
        <v>5</v>
      </c>
      <c r="AT14" s="24">
        <f t="shared" si="1"/>
        <v>15</v>
      </c>
      <c r="AU14" s="25">
        <f t="shared" si="2"/>
        <v>225</v>
      </c>
    </row>
    <row r="15" spans="3:47" ht="21" customHeight="1">
      <c r="C15" s="31" t="s">
        <v>26</v>
      </c>
      <c r="D15" s="31" t="s">
        <v>20</v>
      </c>
      <c r="E15" s="39">
        <v>1</v>
      </c>
      <c r="F15" s="33">
        <v>45978</v>
      </c>
      <c r="G15" s="33">
        <v>46142</v>
      </c>
      <c r="H15" s="35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0"/>
      <c r="AS15" s="6">
        <f t="shared" si="0"/>
        <v>23</v>
      </c>
      <c r="AT15" s="24">
        <f t="shared" si="1"/>
        <v>69</v>
      </c>
      <c r="AU15" s="25">
        <f t="shared" si="2"/>
        <v>1035</v>
      </c>
    </row>
    <row r="16" spans="3:47" ht="21" customHeight="1">
      <c r="C16" s="31"/>
      <c r="D16" s="41"/>
      <c r="E16" s="42"/>
      <c r="F16" s="33"/>
      <c r="G16" s="33"/>
      <c r="H16" s="35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0"/>
      <c r="AS16" s="6">
        <f t="shared" si="0"/>
        <v>0</v>
      </c>
      <c r="AT16" s="24">
        <f t="shared" si="1"/>
        <v>0</v>
      </c>
      <c r="AU16" s="25">
        <f t="shared" si="2"/>
        <v>0</v>
      </c>
    </row>
    <row r="17" spans="3:47" ht="24.75" customHeight="1">
      <c r="C17" s="36" t="s">
        <v>27</v>
      </c>
      <c r="D17" s="36"/>
      <c r="E17" s="37"/>
      <c r="F17" s="38"/>
      <c r="G17" s="38"/>
      <c r="H17" s="35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0"/>
      <c r="AS17" s="6">
        <f t="shared" si="0"/>
        <v>0</v>
      </c>
      <c r="AT17" s="24">
        <f t="shared" si="1"/>
        <v>0</v>
      </c>
      <c r="AU17" s="25">
        <f t="shared" si="2"/>
        <v>0</v>
      </c>
    </row>
    <row r="18" spans="3:47" ht="21" customHeight="1">
      <c r="C18" s="31" t="s">
        <v>28</v>
      </c>
      <c r="D18" s="31" t="s">
        <v>17</v>
      </c>
      <c r="E18" s="40">
        <v>1</v>
      </c>
      <c r="F18" s="33">
        <v>45971</v>
      </c>
      <c r="G18" s="33">
        <v>46176</v>
      </c>
      <c r="H18" s="35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0"/>
      <c r="AS18" s="6">
        <f t="shared" si="0"/>
        <v>29</v>
      </c>
      <c r="AT18" s="24">
        <f t="shared" si="1"/>
        <v>87</v>
      </c>
      <c r="AU18" s="25">
        <f t="shared" si="2"/>
        <v>1305</v>
      </c>
    </row>
    <row r="19" spans="3:47" ht="21" customHeight="1">
      <c r="C19" s="31"/>
      <c r="D19" s="31"/>
      <c r="E19" s="42"/>
      <c r="F19" s="33"/>
      <c r="G19" s="33"/>
      <c r="H19" s="35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0"/>
      <c r="AS19" s="6">
        <f t="shared" si="0"/>
        <v>0</v>
      </c>
      <c r="AT19" s="24">
        <f t="shared" si="1"/>
        <v>0</v>
      </c>
      <c r="AU19" s="25">
        <f t="shared" si="2"/>
        <v>0</v>
      </c>
    </row>
    <row r="20" spans="3:47" ht="21" customHeight="1">
      <c r="C20" s="31"/>
      <c r="D20" s="31"/>
      <c r="E20" s="42"/>
      <c r="F20" s="33"/>
      <c r="G20" s="33"/>
      <c r="H20" s="35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0"/>
      <c r="AS20" s="6">
        <f t="shared" si="0"/>
        <v>0</v>
      </c>
      <c r="AT20" s="24">
        <f t="shared" si="1"/>
        <v>0</v>
      </c>
      <c r="AU20" s="25">
        <f t="shared" si="2"/>
        <v>0</v>
      </c>
    </row>
    <row r="21" spans="3:47" ht="21" customHeight="1">
      <c r="C21" s="31"/>
      <c r="D21" s="31"/>
      <c r="E21" s="42"/>
      <c r="F21" s="33"/>
      <c r="G21" s="33"/>
      <c r="H21" s="35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0"/>
      <c r="AS21" s="6">
        <f t="shared" si="0"/>
        <v>0</v>
      </c>
      <c r="AT21" s="24">
        <f t="shared" si="1"/>
        <v>0</v>
      </c>
      <c r="AU21" s="25">
        <f t="shared" si="2"/>
        <v>0</v>
      </c>
    </row>
    <row r="22" spans="3:47" ht="24.75" customHeight="1">
      <c r="C22" s="36" t="s">
        <v>29</v>
      </c>
      <c r="D22" s="36"/>
      <c r="E22" s="37"/>
      <c r="F22" s="42"/>
      <c r="G22" s="42"/>
      <c r="H22" s="35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0"/>
      <c r="AS22" s="6">
        <f t="shared" si="0"/>
        <v>0</v>
      </c>
      <c r="AT22" s="24">
        <f t="shared" si="1"/>
        <v>0</v>
      </c>
      <c r="AU22" s="25">
        <f t="shared" si="2"/>
        <v>0</v>
      </c>
    </row>
    <row r="23" spans="3:47" ht="21" customHeight="1">
      <c r="C23" s="31"/>
      <c r="D23" s="31"/>
      <c r="E23" s="42"/>
      <c r="F23" s="33"/>
      <c r="G23" s="33"/>
      <c r="H23" s="35"/>
      <c r="I23" s="34"/>
      <c r="J23" s="34"/>
      <c r="K23" s="34"/>
      <c r="L23" s="34"/>
      <c r="M23" s="4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0"/>
      <c r="AS23" s="6">
        <f t="shared" si="0"/>
        <v>0</v>
      </c>
      <c r="AT23" s="24">
        <f t="shared" si="1"/>
        <v>0</v>
      </c>
      <c r="AU23" s="25">
        <f t="shared" si="2"/>
        <v>0</v>
      </c>
    </row>
    <row r="24" spans="3:47" ht="21" customHeight="1">
      <c r="C24" s="31"/>
      <c r="D24" s="31"/>
      <c r="E24" s="42"/>
      <c r="F24" s="33"/>
      <c r="G24" s="33"/>
      <c r="H24" s="35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0"/>
      <c r="AS24" s="6">
        <f t="shared" si="0"/>
        <v>0</v>
      </c>
      <c r="AT24" s="24">
        <f t="shared" si="1"/>
        <v>0</v>
      </c>
      <c r="AU24" s="25">
        <f t="shared" si="2"/>
        <v>0</v>
      </c>
    </row>
    <row r="25" spans="3:47" ht="21" customHeight="1">
      <c r="C25" s="31"/>
      <c r="D25" s="31"/>
      <c r="E25" s="42"/>
      <c r="F25" s="33"/>
      <c r="G25" s="33"/>
      <c r="H25" s="35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0"/>
      <c r="AS25" s="6">
        <f t="shared" si="0"/>
        <v>0</v>
      </c>
      <c r="AT25" s="24">
        <f t="shared" si="1"/>
        <v>0</v>
      </c>
      <c r="AU25" s="25">
        <f t="shared" si="2"/>
        <v>0</v>
      </c>
    </row>
    <row r="26" spans="3:47" ht="21" customHeight="1">
      <c r="C26" s="31"/>
      <c r="D26" s="31"/>
      <c r="E26" s="42"/>
      <c r="F26" s="33"/>
      <c r="G26" s="33"/>
      <c r="H26" s="35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0"/>
      <c r="AS26" s="6">
        <f t="shared" si="0"/>
        <v>0</v>
      </c>
      <c r="AT26" s="24">
        <f t="shared" si="1"/>
        <v>0</v>
      </c>
      <c r="AU26" s="25">
        <f t="shared" si="2"/>
        <v>0</v>
      </c>
    </row>
    <row r="27" spans="3:47" ht="14.25" customHeight="1">
      <c r="AS27" s="6"/>
      <c r="AT27" s="24"/>
      <c r="AU27" s="25"/>
    </row>
    <row r="28" spans="3:47" ht="14.25" customHeight="1">
      <c r="AS28" s="6"/>
      <c r="AT28" s="24"/>
      <c r="AU28" s="25"/>
    </row>
    <row r="29" spans="3:47" ht="14.25" customHeight="1">
      <c r="C29" s="44"/>
      <c r="D29" s="45"/>
      <c r="E29" s="45"/>
      <c r="F29" s="46"/>
      <c r="AS29" s="6"/>
      <c r="AT29" s="24"/>
      <c r="AU29" s="25"/>
    </row>
    <row r="30" spans="3:47" ht="18.75" customHeight="1">
      <c r="C30" s="47" t="s">
        <v>30</v>
      </c>
      <c r="D30" s="61" t="s">
        <v>31</v>
      </c>
      <c r="E30" s="61"/>
      <c r="F30" s="61"/>
      <c r="AS30" s="48">
        <f>SUM(AS8:AS26)</f>
        <v>132</v>
      </c>
      <c r="AT30" s="49">
        <f>SUM(AT8:AT26)</f>
        <v>396</v>
      </c>
      <c r="AU30" s="50">
        <f>SUM(AU8:AU26)</f>
        <v>5940</v>
      </c>
    </row>
    <row r="31" spans="3:47" ht="14.25" customHeight="1">
      <c r="C31" s="51"/>
      <c r="D31" s="61" t="s">
        <v>32</v>
      </c>
      <c r="E31" s="61"/>
      <c r="F31" s="61"/>
    </row>
    <row r="32" spans="3:47" ht="14.25" customHeight="1">
      <c r="C32" s="51"/>
      <c r="D32" s="61" t="s">
        <v>33</v>
      </c>
      <c r="E32" s="61"/>
      <c r="F32" s="61"/>
      <c r="J32" s="52"/>
      <c r="K32" s="52"/>
      <c r="L32" s="52"/>
    </row>
    <row r="33" spans="3:12" ht="14.25" customHeight="1">
      <c r="C33" s="51"/>
      <c r="D33" s="61"/>
      <c r="E33" s="61"/>
      <c r="F33" s="61"/>
      <c r="J33" s="52"/>
      <c r="K33" s="52"/>
      <c r="L33" s="52"/>
    </row>
    <row r="34" spans="3:12" ht="14.25" customHeight="1">
      <c r="C34" s="51"/>
      <c r="D34" s="1"/>
      <c r="E34" s="1"/>
      <c r="F34" s="53"/>
      <c r="J34" s="52"/>
      <c r="K34" s="52"/>
      <c r="L34" s="52"/>
    </row>
    <row r="35" spans="3:12" ht="14.25" customHeight="1">
      <c r="C35" s="51"/>
      <c r="D35" s="1"/>
      <c r="E35" s="1"/>
      <c r="F35" s="53"/>
      <c r="J35" s="52"/>
      <c r="K35" s="52"/>
      <c r="L35" s="52"/>
    </row>
    <row r="36" spans="3:12" ht="14.25" customHeight="1">
      <c r="C36" s="54" t="s">
        <v>34</v>
      </c>
      <c r="D36" s="55">
        <v>3</v>
      </c>
      <c r="E36" s="56"/>
      <c r="F36" s="53"/>
      <c r="J36" s="52"/>
      <c r="K36" s="52"/>
      <c r="L36" s="52"/>
    </row>
    <row r="37" spans="3:12" ht="14.25" customHeight="1">
      <c r="C37" s="54" t="s">
        <v>35</v>
      </c>
      <c r="D37" s="55">
        <v>15</v>
      </c>
      <c r="E37" s="56"/>
      <c r="F37" s="53"/>
      <c r="J37" s="52"/>
      <c r="K37" s="52"/>
      <c r="L37" s="52"/>
    </row>
    <row r="38" spans="3:12" ht="14.25" customHeight="1">
      <c r="C38" s="57"/>
      <c r="E38" s="56"/>
      <c r="F38" s="58"/>
    </row>
    <row r="39" spans="3:12" ht="14.25" customHeight="1">
      <c r="C39" s="59"/>
      <c r="D39" s="29"/>
      <c r="E39" s="29"/>
      <c r="F39" s="60"/>
    </row>
  </sheetData>
  <mergeCells count="14">
    <mergeCell ref="Z3:AC3"/>
    <mergeCell ref="AD3:AG3"/>
    <mergeCell ref="AI3:AL3"/>
    <mergeCell ref="AM3:AP3"/>
    <mergeCell ref="C2:G2"/>
    <mergeCell ref="C3:D3"/>
    <mergeCell ref="I3:L3"/>
    <mergeCell ref="M3:P3"/>
    <mergeCell ref="Q3:T3"/>
    <mergeCell ref="D30:F30"/>
    <mergeCell ref="D31:F31"/>
    <mergeCell ref="D32:F32"/>
    <mergeCell ref="D33:F33"/>
    <mergeCell ref="V3:Y3"/>
  </mergeCells>
  <conditionalFormatting sqref="E8:E26">
    <cfRule type="dataBar" priority="2">
      <dataBar>
        <cfvo type="num" val="0"/>
        <cfvo type="num" val="1"/>
        <color rgb="FFE59EDD"/>
      </dataBar>
      <extLst>
        <ext xmlns:x14="http://schemas.microsoft.com/office/spreadsheetml/2009/9/main" uri="{B025F937-C7B1-47D3-B67F-A62EFF666E3E}">
          <x14:id>{ED8092B5-9A6A-496B-8470-741F6A93F5D7}</x14:id>
        </ext>
      </extLst>
    </cfRule>
  </conditionalFormatting>
  <conditionalFormatting sqref="H8:AP8 I9:AP11 I13:V26 Y13:AD26 AG13:AL26 AO13:AP26">
    <cfRule type="expression" dxfId="2" priority="3">
      <formula>AND(H$5&gt;=$F8,H$5&lt;=$G8)</formula>
    </cfRule>
  </conditionalFormatting>
  <conditionalFormatting sqref="H8:AP8 I5:AQ7 I9:AP26 AQ8:AQ26">
    <cfRule type="expression" dxfId="1" priority="4">
      <formula>AND(H$5&lt;=TODAY(), (I$5-7)&lt;=TODAY(),I$5&gt;=TODAY())</formula>
    </cfRule>
  </conditionalFormatting>
  <conditionalFormatting sqref="I7:AQ26">
    <cfRule type="expression" dxfId="0" priority="5">
      <formula>AND($F7&lt;&gt;"", $G7&lt;&gt;"", I$5&gt;=$F7, I$5&lt;=$G7)</formula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8092B5-9A6A-496B-8470-741F6A93F5D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E59EDD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Canali</dc:creator>
  <dc:description/>
  <cp:lastModifiedBy>fabio</cp:lastModifiedBy>
  <cp:revision>0</cp:revision>
  <dcterms:created xsi:type="dcterms:W3CDTF">2025-10-22T05:40:21Z</dcterms:created>
  <dcterms:modified xsi:type="dcterms:W3CDTF">2026-06-03T07:26:51Z</dcterms:modified>
  <dc:language>en-US</dc:language>
</cp:coreProperties>
</file>